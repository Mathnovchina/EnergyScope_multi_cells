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land_inputs_2020" sheetId="1" state="visible" r:id="rId1"/>
    <sheet xmlns:r="http://schemas.openxmlformats.org/officeDocument/2006/relationships" name="EUD_params_simplified" sheetId="2" state="visible" r:id="rId2"/>
    <sheet xmlns:r="http://schemas.openxmlformats.org/officeDocument/2006/relationships" name="Finland_inputs" sheetId="3" state="visible" r:id="rId3"/>
    <sheet xmlns:r="http://schemas.openxmlformats.org/officeDocument/2006/relationships" name="Comparators" sheetId="4" state="visible" r:id="rId4"/>
    <sheet xmlns:r="http://schemas.openxmlformats.org/officeDocument/2006/relationships" name="Method_note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color rgb="000000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0" borderId="0" pivotButton="0" quotePrefix="0" xfId="0"/>
    <xf numFmtId="165" fontId="0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4" customWidth="1" min="4" max="4"/>
    <col width="10" customWidth="1" min="5" max="5"/>
    <col width="12" customWidth="1" min="6" max="6"/>
    <col width="62" customWidth="1" min="7" max="7"/>
    <col width="70" customWidth="1" min="8" max="8"/>
    <col width="36" customWidth="1" min="9" max="9"/>
  </cols>
  <sheetData>
    <row r="1" ht="24" customHeight="1">
      <c r="A1" s="1" t="inlineStr">
        <is>
          <t>Block</t>
        </is>
      </c>
      <c r="B1" s="1" t="inlineStr">
        <is>
          <t>Parameter</t>
        </is>
      </c>
      <c r="C1" s="1" t="inlineStr">
        <is>
          <t>Symbol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Baseline year</t>
        </is>
      </c>
      <c r="G1" s="1" t="inlineStr">
        <is>
          <t>Definition / how computed</t>
        </is>
      </c>
      <c r="H1" s="1" t="inlineStr">
        <is>
          <t>Primary source (URL)</t>
        </is>
      </c>
      <c r="I1" s="1" t="inlineStr">
        <is>
          <t>Citation label (suggested)</t>
        </is>
      </c>
    </row>
    <row r="2">
      <c r="A2" s="2" t="inlineStr">
        <is>
          <t>Heat</t>
        </is>
      </c>
      <c r="B2" s="2" t="inlineStr">
        <is>
          <t>District heating share of low-T heat</t>
        </is>
      </c>
      <c r="C2" s="2" t="inlineStr">
        <is>
          <t>%Dhn</t>
        </is>
      </c>
      <c r="D2" s="12" t="n">
        <v>0.45</v>
      </c>
      <c r="E2" s="2" t="inlineStr">
        <is>
          <t>share</t>
        </is>
      </c>
      <c r="F2" s="2" t="n">
        <v>2020</v>
      </c>
      <c r="G2" s="2" t="inlineStr">
        <is>
          <t>Proxy for DHN split: district heating share of heating energy / space-heating market in Finland.</t>
        </is>
      </c>
      <c r="H2" s="2" t="inlineStr">
        <is>
          <t>https://energia.fi/wp-content/uploads/2024/01/Energy-Year-2023_DistrictHeating.pdf</t>
        </is>
      </c>
      <c r="I2" s="2" t="inlineStr">
        <is>
          <t>finnish_energy_2024_district_heating</t>
        </is>
      </c>
    </row>
    <row r="3">
      <c r="A3" s="2" t="inlineStr">
        <is>
          <t>Heat</t>
        </is>
      </c>
      <c r="B3" s="2" t="inlineStr">
        <is>
          <t>District heating network losses</t>
        </is>
      </c>
      <c r="C3" s="2" t="inlineStr">
        <is>
          <t>Loss(HeatLowTDhn)</t>
        </is>
      </c>
      <c r="D3" s="12" t="n">
        <v>0.08500000000000001</v>
      </c>
      <c r="E3" s="2" t="inlineStr">
        <is>
          <t>share</t>
        </is>
      </c>
      <c r="F3" s="2" t="n">
        <v>2020</v>
      </c>
      <c r="G3" s="2" t="inlineStr">
        <is>
          <t>Constant proxy; Finnish Energy reports typical DH distribution losses of 8–9% of transmitted energy (midpoint 8.5%).</t>
        </is>
      </c>
      <c r="H3" s="2" t="inlineStr">
        <is>
          <t>https://energia.fi/en/energy-sector-in-finland/energy-networks/district-heating-networks/</t>
        </is>
      </c>
      <c r="I3" s="2" t="inlineStr">
        <is>
          <t>finnish_energy_2024_dh_networks</t>
        </is>
      </c>
    </row>
    <row r="4">
      <c r="A4" s="2" t="inlineStr">
        <is>
          <t>Electricity</t>
        </is>
      </c>
      <c r="B4" s="2" t="inlineStr">
        <is>
          <t>Electricity grid losses</t>
        </is>
      </c>
      <c r="C4" s="2" t="inlineStr">
        <is>
          <t>Loss(Elec)</t>
        </is>
      </c>
      <c r="D4" s="12" t="n">
        <v>0.03</v>
      </c>
      <c r="E4" s="2" t="inlineStr">
        <is>
          <t>share</t>
        </is>
      </c>
      <c r="F4" s="2" t="n">
        <v>2020</v>
      </c>
      <c r="G4" s="2" t="inlineStr">
        <is>
          <t>Constant proxy based on “Losses 3%” in the electricity consumption breakdown in Energy in Finland 2022; used for baseline 2020.</t>
        </is>
      </c>
      <c r="H4" s="2" t="inlineStr">
        <is>
          <t>https://www.doria.fi/bitstream/10024/185778/1/yene_efp_202200_2022_25869_net.pdf</t>
        </is>
      </c>
      <c r="I4" s="2" t="inlineStr">
        <is>
          <t>energy_in_finland_2022</t>
        </is>
      </c>
    </row>
    <row r="5"/>
    <row r="6">
      <c r="A6" s="13" t="inlineStr">
        <is>
          <t>Mobility (passenger)</t>
        </is>
      </c>
      <c r="B6" s="13" t="inlineStr">
        <is>
          <t>Raw inland passenger-km inputs (2019 pre-COVID proxy)</t>
        </is>
      </c>
    </row>
    <row r="7">
      <c r="A7" s="4" t="inlineStr">
        <is>
          <t>Mode (inland)</t>
        </is>
      </c>
      <c r="B7" s="4" t="inlineStr">
        <is>
          <t>Passenger-km (billion)</t>
        </is>
      </c>
      <c r="C7" s="4" t="inlineStr"/>
      <c r="D7" s="4" t="inlineStr"/>
      <c r="E7" s="4" t="inlineStr"/>
      <c r="F7" s="4" t="inlineStr"/>
      <c r="G7" s="4" t="inlineStr">
        <is>
          <t>Source</t>
        </is>
      </c>
      <c r="H7" s="4" t="inlineStr">
        <is>
          <t>URL</t>
        </is>
      </c>
      <c r="I7" s="4" t="inlineStr">
        <is>
          <t>Suggested citekey</t>
        </is>
      </c>
    </row>
    <row r="8">
      <c r="A8" s="2" t="inlineStr">
        <is>
          <t>Passenger cars</t>
        </is>
      </c>
      <c r="B8" s="14" t="n">
        <v>66.8</v>
      </c>
      <c r="C8" s="2" t="inlineStr"/>
      <c r="D8" s="2" t="inlineStr"/>
      <c r="E8" s="2" t="inlineStr"/>
      <c r="F8" s="2" t="inlineStr"/>
      <c r="G8" s="2" t="inlineStr">
        <is>
          <t>Statistics Finland (2021), Finnish Road Statistics 2020</t>
        </is>
      </c>
      <c r="H8" s="2" t="inlineStr">
        <is>
          <t>https://stat.fi/til/tiet/2020/tiet_2020_2021-04-15_en.pdf</t>
        </is>
      </c>
      <c r="I8" s="2" t="inlineStr">
        <is>
          <t>statfi_2021_roadstats_2020</t>
        </is>
      </c>
    </row>
    <row r="9">
      <c r="A9" s="2" t="inlineStr">
        <is>
          <t>Coaches, buses</t>
        </is>
      </c>
      <c r="B9" s="14" t="n">
        <v>7.9</v>
      </c>
      <c r="C9" s="2" t="inlineStr"/>
      <c r="D9" s="2" t="inlineStr"/>
      <c r="E9" s="2" t="inlineStr"/>
      <c r="F9" s="2" t="inlineStr"/>
      <c r="G9" s="2" t="inlineStr">
        <is>
          <t>Statistics Finland (2021), Finnish Road Statistics 2020</t>
        </is>
      </c>
      <c r="H9" s="2" t="inlineStr">
        <is>
          <t>https://stat.fi/til/tiet/2020/tiet_2020_2021-04-15_en.pdf</t>
        </is>
      </c>
      <c r="I9" s="2" t="inlineStr">
        <is>
          <t>statfi_2021_roadstats_2020</t>
        </is>
      </c>
    </row>
    <row r="10">
      <c r="A10" s="2" t="inlineStr">
        <is>
          <t>Trains</t>
        </is>
      </c>
      <c r="B10" s="14" t="n">
        <v>4.9</v>
      </c>
      <c r="C10" s="2" t="inlineStr"/>
      <c r="D10" s="2" t="inlineStr"/>
      <c r="E10" s="2" t="inlineStr"/>
      <c r="F10" s="2" t="inlineStr"/>
      <c r="G10" s="2" t="inlineStr">
        <is>
          <t>Statistics Finland (2021), Railway statistics 2020, 4th quarter</t>
        </is>
      </c>
      <c r="H10" s="2" t="inlineStr">
        <is>
          <t>https://stat.fi/til/rtie/2020/04/rtie_2020_04_2021-04-01_en.pdf</t>
        </is>
      </c>
      <c r="I10" s="2" t="inlineStr">
        <is>
          <t>statfi_2021_rail_q4_2020</t>
        </is>
      </c>
    </row>
    <row r="11"/>
    <row r="12">
      <c r="A12" s="4" t="inlineStr">
        <is>
          <t>Mobility (passenger)</t>
        </is>
      </c>
      <c r="B12" s="4" t="inlineStr">
        <is>
          <t>Derived inland public passenger mobility share</t>
        </is>
      </c>
      <c r="C12" s="2" t="inlineStr">
        <is>
          <t>%Public</t>
        </is>
      </c>
      <c r="D12" s="15">
        <f>(B9+B10)/(B8+B9+B10)</f>
        <v/>
      </c>
      <c r="E12" s="2" t="inlineStr">
        <is>
          <t>share</t>
        </is>
      </c>
      <c r="F12" s="2" t="n">
        <v>2020</v>
      </c>
      <c r="G12" s="2" t="inlineStr">
        <is>
          <t>(bus pkm + rail pkm)/(car pkm + bus pkm + rail pkm).</t>
        </is>
      </c>
      <c r="H12" s="2" t="inlineStr">
        <is>
          <t>https://stat.fi/til/tiet/2020/tiet_2020_2021-04-15_en.pdf ; https://stat.fi/til/rtie/2020/04/rtie_2020_04_2021-04-01_en.pdf</t>
        </is>
      </c>
      <c r="I12" s="2" t="inlineStr">
        <is>
          <t>statfi_2021_roadstats_2020; statfi_2021_rail_q4_2020</t>
        </is>
      </c>
    </row>
    <row r="13"/>
    <row r="14">
      <c r="A14" s="13" t="inlineStr">
        <is>
          <t>Mobility (freight)</t>
        </is>
      </c>
      <c r="B14" s="13" t="inlineStr">
        <is>
          <t>Raw inland freight tonne-km inputs (2019 pre-COVID proxy)</t>
        </is>
      </c>
    </row>
    <row r="15">
      <c r="A15" s="4" t="inlineStr">
        <is>
          <t>Mode (inland)</t>
        </is>
      </c>
      <c r="B15" s="4" t="inlineStr">
        <is>
          <t>Tonne-km (billion)</t>
        </is>
      </c>
      <c r="C15" s="4" t="inlineStr"/>
      <c r="D15" s="4" t="inlineStr"/>
      <c r="E15" s="4" t="inlineStr"/>
      <c r="F15" s="4" t="inlineStr"/>
      <c r="G15" s="4" t="inlineStr">
        <is>
          <t>Source</t>
        </is>
      </c>
      <c r="H15" s="4" t="inlineStr">
        <is>
          <t>URL</t>
        </is>
      </c>
      <c r="I15" s="4" t="inlineStr">
        <is>
          <t>Suggested citekey</t>
        </is>
      </c>
    </row>
    <row r="16">
      <c r="A16" s="2" t="inlineStr">
        <is>
          <t>Road</t>
        </is>
      </c>
      <c r="B16" s="14" t="n">
        <v>27</v>
      </c>
      <c r="C16" s="2" t="inlineStr"/>
      <c r="D16" s="2" t="inlineStr"/>
      <c r="E16" s="2" t="inlineStr"/>
      <c r="F16" s="2" t="inlineStr"/>
      <c r="G16" s="2" t="inlineStr">
        <is>
          <t>Statistics Finland (2021), Goods transport by road 2020</t>
        </is>
      </c>
      <c r="H16" s="2" t="inlineStr">
        <is>
          <t>https://stat.fi/til/kttav/2020/kttav_2020_2021-04-21_en.pdf</t>
        </is>
      </c>
      <c r="I16" s="2" t="inlineStr">
        <is>
          <t>statfi_2021_roadfreight_2020</t>
        </is>
      </c>
    </row>
    <row r="17">
      <c r="A17" s="2" t="inlineStr">
        <is>
          <t>Rail</t>
        </is>
      </c>
      <c r="B17" s="14" t="n">
        <v>10.3</v>
      </c>
      <c r="C17" s="2" t="inlineStr"/>
      <c r="D17" s="2" t="inlineStr"/>
      <c r="E17" s="2" t="inlineStr"/>
      <c r="F17" s="2" t="inlineStr"/>
      <c r="G17" s="2" t="inlineStr">
        <is>
          <t>Statistics Finland (2021), Railway statistics 2020</t>
        </is>
      </c>
      <c r="H17" s="2" t="inlineStr">
        <is>
          <t>https://stat.fi/til/rtie/2020/rtie_2020_2021-08-27_en.pdf</t>
        </is>
      </c>
      <c r="I17" s="2" t="inlineStr">
        <is>
          <t>statfi_2021_rail_2020</t>
        </is>
      </c>
    </row>
    <row r="18"/>
    <row r="19">
      <c r="A19" s="4" t="inlineStr">
        <is>
          <t>Mobility (freight)</t>
        </is>
      </c>
      <c r="B19" s="4" t="inlineStr">
        <is>
          <t>Derived inland rail freight share</t>
        </is>
      </c>
      <c r="C19" s="2" t="inlineStr">
        <is>
          <t>%Rail</t>
        </is>
      </c>
      <c r="D19" s="15">
        <f>(B17)/(B17+B16)</f>
        <v/>
      </c>
      <c r="E19" s="2" t="inlineStr">
        <is>
          <t>share</t>
        </is>
      </c>
      <c r="F19" s="2" t="n">
        <v>2020</v>
      </c>
      <c r="G19" s="2" t="inlineStr">
        <is>
          <t>rail tkm/(rail tkm + road tkm).</t>
        </is>
      </c>
      <c r="H19" s="2" t="inlineStr">
        <is>
          <t>https://stat.fi/til/rtie/2020/rtie_2020_2021-08-27_en.pdf ; https://stat.fi/til/kttav/2020/kttav_2020_2021-04-21_en.pdf</t>
        </is>
      </c>
      <c r="I19" s="2" t="inlineStr">
        <is>
          <t>statfi_2021_rail_2020; statfi_2021_roadfreight_2020</t>
        </is>
      </c>
    </row>
    <row r="20"/>
    <row r="21"/>
    <row r="22"/>
    <row r="23"/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  <col width="60" customWidth="1" min="5" max="5"/>
    <col width="55" customWidth="1" min="6" max="6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Baseline year</t>
        </is>
      </c>
      <c r="E1" t="inlineStr">
        <is>
          <t>How computed / definition</t>
        </is>
      </c>
      <c r="F1" t="inlineStr">
        <is>
          <t>Primary source</t>
        </is>
      </c>
    </row>
    <row r="2">
      <c r="A2" s="6" t="inlineStr">
        <is>
          <t>District heating share of low-T heat</t>
        </is>
      </c>
      <c r="B2" s="6" t="inlineStr">
        <is>
          <t>%Dhn</t>
        </is>
      </c>
      <c r="C2" s="16" t="n">
        <v>0.45</v>
      </c>
      <c r="D2" s="6" t="n">
        <v>2020</v>
      </c>
      <c r="E2" s="6" t="inlineStr">
        <is>
          <t>Proxy for DHN split (space-heating market share).</t>
        </is>
      </c>
      <c r="F2" s="6" t="inlineStr">
        <is>
          <t>Finnish Energy (2024), Energy Year 2023: District Heating (p.19)</t>
        </is>
      </c>
    </row>
    <row r="3">
      <c r="A3" s="6" t="inlineStr">
        <is>
          <t>District heating network losses</t>
        </is>
      </c>
      <c r="B3" s="6" t="inlineStr">
        <is>
          <t>Loss(HeatLowTDhn)</t>
        </is>
      </c>
      <c r="C3" s="16" t="n">
        <v>0.08500000000000001</v>
      </c>
      <c r="D3" s="6" t="n">
        <v>2020</v>
      </c>
      <c r="E3" s="6" t="inlineStr">
        <is>
          <t>8–9% typical DH distribution losses; midpoint 8.5%.</t>
        </is>
      </c>
      <c r="F3" s="6" t="inlineStr">
        <is>
          <t>Finnish Energy (2024), District heating networks</t>
        </is>
      </c>
    </row>
    <row r="4">
      <c r="A4" s="6" t="inlineStr">
        <is>
          <t>Inland public passenger mobility share</t>
        </is>
      </c>
      <c r="B4" s="6" t="inlineStr">
        <is>
          <t>%Public</t>
        </is>
      </c>
      <c r="C4" s="16" t="n">
        <v>0.1608</v>
      </c>
      <c r="D4" s="6" t="n">
        <v>2020</v>
      </c>
      <c r="E4" s="6" t="inlineStr">
        <is>
          <t>(bus+rail)/(car+bus+rail) using 66.8, 7.9, 4.9 bn pkm (2019; pre-COVID proxy).</t>
        </is>
      </c>
      <c r="F4" s="6" t="inlineStr">
        <is>
          <t>Statistics Finland (2021), Finnish Road Statistics 2020; Railway statistics 2020, 4th quarter</t>
        </is>
      </c>
    </row>
    <row r="5">
      <c r="A5" s="6" t="inlineStr">
        <is>
          <t>Inland rail freight share</t>
        </is>
      </c>
      <c r="B5" s="6" t="inlineStr">
        <is>
          <t>%Rail</t>
        </is>
      </c>
      <c r="C5" s="16" t="n">
        <v>0.2761</v>
      </c>
      <c r="D5" s="6" t="n">
        <v>2020</v>
      </c>
      <c r="E5" s="6" t="inlineStr">
        <is>
          <t>rail/(rail+road) using 10.3 and 27.0 bn tkm (2019; pre-COVID proxy).</t>
        </is>
      </c>
      <c r="F5" s="6" t="inlineStr">
        <is>
          <t>Statistics Finland (2021), Railway statistics 2020; Goods transport by road 2020</t>
        </is>
      </c>
    </row>
    <row r="6">
      <c r="A6" s="6" t="inlineStr">
        <is>
          <t>Electricity grid losses</t>
        </is>
      </c>
      <c r="B6" s="6" t="inlineStr">
        <is>
          <t>Loss(Elec)</t>
        </is>
      </c>
      <c r="C6" s="16" t="n">
        <v>0.03</v>
      </c>
      <c r="D6" s="6" t="n">
        <v>2020</v>
      </c>
      <c r="E6" s="6" t="inlineStr">
        <is>
          <t>Constant proxy based on “Losses 3%” entry in Energy in Finland 2022.</t>
        </is>
      </c>
      <c r="F6" s="6" t="inlineStr">
        <is>
          <t>Finnish Energy and Statistics Finland (2022), Energy in Finland 2022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2" customWidth="1" min="4" max="4"/>
    <col width="10" customWidth="1" min="5" max="5"/>
    <col width="8" customWidth="1" min="6" max="6"/>
    <col width="42" customWidth="1" min="7" max="7"/>
    <col width="48" customWidth="1" min="8" max="8"/>
    <col width="38" customWidth="1" min="9" max="9"/>
  </cols>
  <sheetData>
    <row r="1" ht="24" customHeight="1">
      <c r="A1" s="1" t="inlineStr">
        <is>
          <t>Block</t>
        </is>
      </c>
      <c r="B1" s="1" t="inlineStr">
        <is>
          <t>Parameter</t>
        </is>
      </c>
      <c r="C1" s="1" t="inlineStr">
        <is>
          <t>Symbol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How it maps to EnergyScope</t>
        </is>
      </c>
      <c r="H1" s="1" t="inlineStr">
        <is>
          <t>Source (URL)</t>
        </is>
      </c>
      <c r="I1" s="1" t="inlineStr">
        <is>
          <t>Notes</t>
        </is>
      </c>
    </row>
    <row r="2">
      <c r="A2" s="2" t="inlineStr">
        <is>
          <t>Heat</t>
        </is>
      </c>
      <c r="B2" s="2" t="inlineStr">
        <is>
          <t>District heating share of space heating market</t>
        </is>
      </c>
      <c r="C2" s="2" t="inlineStr">
        <is>
          <t>%Dhn (proxy)</t>
        </is>
      </c>
      <c r="D2" s="3" t="n">
        <v>0.45</v>
      </c>
      <c r="E2" s="2" t="inlineStr">
        <is>
          <t>share</t>
        </is>
      </c>
      <c r="F2" s="2" t="n">
        <v>2020</v>
      </c>
      <c r="G2" s="2" t="inlineStr">
        <is>
          <t>Proxy for the share of low-temperature heat supplied by the district heating network (DHN).</t>
        </is>
      </c>
      <c r="H2" s="2" t="inlineStr">
        <is>
          <t>https://energia.fi/wp-content/uploads/2024/01/Energy-Year-2023_DistrictHeating.pdf</t>
        </is>
      </c>
      <c r="I2" s="2" t="inlineStr">
        <is>
          <t>Figure 'Market share of space heating 2020' reports district heat = 45%.</t>
        </is>
      </c>
    </row>
    <row r="3">
      <c r="A3" s="2" t="inlineStr">
        <is>
          <t>Heat</t>
        </is>
      </c>
      <c r="B3" s="2" t="inlineStr">
        <is>
          <t>District heating distribution losses</t>
        </is>
      </c>
      <c r="C3" s="2" t="inlineStr">
        <is>
          <t>Loss(HeatLowTDhn)</t>
        </is>
      </c>
      <c r="D3" s="3" t="n">
        <v>0.08500000000000001</v>
      </c>
      <c r="E3" s="2" t="inlineStr">
        <is>
          <t>share</t>
        </is>
      </c>
      <c r="F3" s="2" t="n">
        <v>2024</v>
      </c>
      <c r="G3" s="2" t="inlineStr">
        <is>
          <t>Loss factor applied to DHN-delivered low-temperature heat demand.</t>
        </is>
      </c>
      <c r="H3" s="2" t="inlineStr">
        <is>
          <t>https://energia.fi/en/energy-sector-in-finland/energy-networks/district-heating-networks/</t>
        </is>
      </c>
      <c r="I3" s="2" t="inlineStr">
        <is>
          <t>Finnish Energy states heat losses in DH distribution network are 8–9% of transmitted energy.</t>
        </is>
      </c>
    </row>
    <row r="4">
      <c r="A4" s="2" t="inlineStr">
        <is>
          <t>Electricity</t>
        </is>
      </c>
      <c r="B4" s="2" t="inlineStr">
        <is>
          <t>Grid losses</t>
        </is>
      </c>
      <c r="C4" s="2" t="inlineStr">
        <is>
          <t>Loss(Elec)</t>
        </is>
      </c>
      <c r="D4" s="3" t="n">
        <v>0.03</v>
      </c>
      <c r="E4" s="2" t="inlineStr">
        <is>
          <t>share</t>
        </is>
      </c>
      <c r="F4" s="2" t="n">
        <v>2021</v>
      </c>
      <c r="G4" s="2" t="inlineStr">
        <is>
          <t>Loss factor applied to electricity delivered to end-use demands.</t>
        </is>
      </c>
      <c r="H4" s="2" t="inlineStr">
        <is>
          <t>https://www.doria.fi/bitstream/10024/185778/1/yene_efp_202200_2022_25869_net.pdf</t>
        </is>
      </c>
      <c r="I4" s="2" t="inlineStr">
        <is>
          <t>Energy in Finland 2022 reports 'Losses 3%' in the electricity consumption breakdown (sources: Finnish Energy and Statistics Finland).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4" t="inlineStr">
        <is>
          <t>Mobility (passenger)</t>
        </is>
      </c>
      <c r="B6" s="4" t="inlineStr">
        <is>
          <t>Raw modal split (shares of total passenger pkm, 2022)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From Eurostat Key Figures chart; used to compute inland public share.</t>
        </is>
      </c>
    </row>
    <row r="7">
      <c r="A7" s="5" t="inlineStr">
        <is>
          <t>Mode</t>
        </is>
      </c>
      <c r="B7" s="5" t="inlineStr">
        <is>
          <t>Share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>
        <is>
          <t>Passenger cars</t>
        </is>
      </c>
      <c r="B8" s="7" t="n">
        <v>77.0616113744</v>
      </c>
      <c r="C8" s="6" t="n"/>
      <c r="D8" s="6" t="n"/>
      <c r="E8" s="6" t="n"/>
      <c r="F8" s="6" t="n"/>
      <c r="G8" s="6" t="n"/>
      <c r="H8" s="6" t="n"/>
      <c r="I8" s="6" t="n"/>
    </row>
    <row r="9">
      <c r="A9" s="6" t="inlineStr">
        <is>
          <t>Coaches, buses</t>
        </is>
      </c>
      <c r="B9" s="7" t="n">
        <v>4.2654028436</v>
      </c>
      <c r="C9" s="6" t="n"/>
      <c r="D9" s="6" t="n"/>
      <c r="E9" s="6" t="n"/>
      <c r="F9" s="6" t="n"/>
      <c r="G9" s="6" t="n"/>
      <c r="H9" s="6" t="n"/>
      <c r="I9" s="6" t="n"/>
    </row>
    <row r="10">
      <c r="A10" s="6" t="inlineStr">
        <is>
          <t>Trains</t>
        </is>
      </c>
      <c r="B10" s="7" t="n">
        <v>4.1706161137</v>
      </c>
      <c r="C10" s="6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Aircraft</t>
        </is>
      </c>
      <c r="B11" s="7" t="n">
        <v>13.6492890995</v>
      </c>
      <c r="C11" s="6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Seagoing vessels</t>
        </is>
      </c>
      <c r="B12" s="7" t="n">
        <v>0.8530805687</v>
      </c>
      <c r="C12" s="6" t="n"/>
      <c r="D12" s="6" t="n"/>
      <c r="E12" s="6" t="n"/>
      <c r="F12" s="6" t="n"/>
      <c r="G12" s="6" t="n"/>
      <c r="H12" s="6" t="n"/>
      <c r="I12" s="6" t="n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4" t="inlineStr">
        <is>
          <t>Mobility (passenger)</t>
        </is>
      </c>
      <c r="B14" s="4" t="inlineStr">
        <is>
          <t>Derived inland public transport share</t>
        </is>
      </c>
      <c r="C14" s="2" t="inlineStr">
        <is>
          <t>%Public</t>
        </is>
      </c>
      <c r="D14" s="8">
        <f>(B9+B10)/(B8+B9+B10)</f>
        <v/>
      </c>
      <c r="E14" s="2" t="inlineStr">
        <is>
          <t>share</t>
        </is>
      </c>
      <c r="F14" s="2" t="n">
        <v>2022</v>
      </c>
      <c r="G14" s="2" t="inlineStr">
        <is>
          <t>Computed as (bus+rail)/(car+bus+rail), excluding air and sea.</t>
        </is>
      </c>
      <c r="H14" s="2" t="inlineStr">
        <is>
          <t>https://ec.europa.eu/eurostat/documents/15216629/20875401/KS-01-24-021-EN-N.pdf</t>
        </is>
      </c>
      <c r="I14" s="2" t="inlineStr">
        <is>
          <t>Uses the same Eurostat chart as above; inland definition matches the EnergyScope public/private split.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4" t="inlineStr">
        <is>
          <t>Mobility (freight)</t>
        </is>
      </c>
      <c r="B16" s="4" t="inlineStr">
        <is>
          <t>Raw modal split (shares of total freight tkm, 2022)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>
        <is>
          <t>From Eurostat Key Figures chart; used to compute inland rail share.</t>
        </is>
      </c>
    </row>
    <row r="17">
      <c r="A17" s="5" t="inlineStr">
        <is>
          <t>Mode</t>
        </is>
      </c>
      <c r="B17" s="5" t="inlineStr">
        <is>
          <t>Share (%)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>
      <c r="A18" s="6" t="inlineStr">
        <is>
          <t>Maritime</t>
        </is>
      </c>
      <c r="B18" s="7" t="n">
        <v>63.2129277567</v>
      </c>
      <c r="C18" s="6" t="n"/>
      <c r="D18" s="6" t="n"/>
      <c r="E18" s="6" t="n"/>
      <c r="F18" s="6" t="n"/>
      <c r="G18" s="6" t="n"/>
      <c r="H18" s="6" t="n"/>
      <c r="I18" s="6" t="n"/>
    </row>
    <row r="19">
      <c r="A19" s="6" t="inlineStr">
        <is>
          <t>Roads</t>
        </is>
      </c>
      <c r="B19" s="7" t="n">
        <v>25.9505703422</v>
      </c>
      <c r="C19" s="6" t="n"/>
      <c r="D19" s="6" t="n"/>
      <c r="E19" s="6" t="n"/>
      <c r="F19" s="6" t="n"/>
      <c r="G19" s="6" t="n"/>
      <c r="H19" s="6" t="n"/>
      <c r="I19" s="6" t="n"/>
    </row>
    <row r="20">
      <c r="A20" s="6" t="inlineStr">
        <is>
          <t>Railways</t>
        </is>
      </c>
      <c r="B20" s="7" t="n">
        <v>10.5532319392</v>
      </c>
      <c r="C20" s="6" t="n"/>
      <c r="D20" s="6" t="n"/>
      <c r="E20" s="6" t="n"/>
      <c r="F20" s="6" t="n"/>
      <c r="G20" s="6" t="n"/>
      <c r="H20" s="6" t="n"/>
      <c r="I20" s="6" t="n"/>
    </row>
    <row r="21">
      <c r="A21" s="6" t="inlineStr">
        <is>
          <t>Inland waterways</t>
        </is>
      </c>
      <c r="B21" s="7" t="n">
        <v>0.1901140684</v>
      </c>
      <c r="C21" s="6" t="n"/>
      <c r="D21" s="6" t="n"/>
      <c r="E21" s="6" t="n"/>
      <c r="F21" s="6" t="n"/>
      <c r="G21" s="6" t="n"/>
      <c r="H21" s="6" t="n"/>
      <c r="I21" s="6" t="n"/>
    </row>
    <row r="22">
      <c r="A22" s="6" t="inlineStr">
        <is>
          <t>Air</t>
        </is>
      </c>
      <c r="B22" s="7" t="n">
        <v>0.09515589350000001</v>
      </c>
      <c r="C22" s="6" t="n"/>
      <c r="D22" s="6" t="n"/>
      <c r="E22" s="6" t="n"/>
      <c r="F22" s="6" t="n"/>
      <c r="G22" s="6" t="n"/>
      <c r="H22" s="6" t="n"/>
      <c r="I22" s="6" t="n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4" t="inlineStr">
        <is>
          <t>Mobility (freight)</t>
        </is>
      </c>
      <c r="B24" s="4" t="inlineStr">
        <is>
          <t>Derived inland rail share</t>
        </is>
      </c>
      <c r="C24" s="2" t="inlineStr">
        <is>
          <t>%Rail</t>
        </is>
      </c>
      <c r="D24" s="8">
        <f>(B20)/(B20+B19)</f>
        <v/>
      </c>
      <c r="E24" s="2" t="inlineStr">
        <is>
          <t>share</t>
        </is>
      </c>
      <c r="F24" s="2" t="n">
        <v>2022</v>
      </c>
      <c r="G24" s="2" t="inlineStr">
        <is>
          <t>Computed as rail/(road+rail), excluding maritime, inland waterways, and air.</t>
        </is>
      </c>
      <c r="H24" s="2" t="inlineStr">
        <is>
          <t>https://ec.europa.eu/eurostat/documents/15216629/20875401/KS-01-24-021-EN-N.pdf</t>
        </is>
      </c>
      <c r="I24" s="2" t="inlineStr">
        <is>
          <t>Uses the Eurostat chart; inland definition matches the EnergyScope rail/road split.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8" customWidth="1" min="4" max="4"/>
    <col width="12" customWidth="1" min="5" max="5"/>
    <col width="16" customWidth="1" min="6" max="6"/>
    <col width="34" customWidth="1" min="7" max="7"/>
    <col width="50" customWidth="1" min="8" max="8"/>
  </cols>
  <sheetData>
    <row r="1" ht="24" customHeight="1">
      <c r="A1" s="1" t="inlineStr">
        <is>
          <t>Case study</t>
        </is>
      </c>
      <c r="B1" s="1" t="inlineStr">
        <is>
          <t>%Dhn</t>
        </is>
      </c>
      <c r="C1" s="1" t="inlineStr">
        <is>
          <t>%Public</t>
        </is>
      </c>
      <c r="D1" s="1" t="inlineStr">
        <is>
          <t>%Rail (definition in study)</t>
        </is>
      </c>
      <c r="E1" s="1" t="inlineStr">
        <is>
          <t>Loss(Elec)</t>
        </is>
      </c>
      <c r="F1" s="1" t="inlineStr">
        <is>
          <t>Loss(HeatLowTDhn)</t>
        </is>
      </c>
      <c r="G1" s="1" t="inlineStr">
        <is>
          <t>Source / where reported</t>
        </is>
      </c>
      <c r="H1" s="1" t="inlineStr">
        <is>
          <t>Notes</t>
        </is>
      </c>
    </row>
    <row r="2">
      <c r="A2" s="2" t="inlineStr">
        <is>
          <t>Switzerland (Moret 2017)</t>
        </is>
      </c>
      <c r="B2" s="9" t="n">
        <v>0.064</v>
      </c>
      <c r="C2" s="9" t="n">
        <v>0.2</v>
      </c>
      <c r="D2" s="9" t="n">
        <v>0.368</v>
      </c>
      <c r="E2" s="9" t="n">
        <v>0.07000000000000001</v>
      </c>
      <c r="F2" s="9" t="n">
        <v>0.05</v>
      </c>
      <c r="G2" s="2" t="inlineStr">
        <is>
          <t>Moret (2017), Table A.26; text on losses</t>
        </is>
      </c>
      <c r="H2" s="2" t="inlineStr">
        <is>
          <t>Moret defines modal shares and DHN share as exogenous inputs.</t>
        </is>
      </c>
    </row>
    <row r="3">
      <c r="A3" s="2" t="inlineStr">
        <is>
          <t>Belgium (Limpens 2021)</t>
        </is>
      </c>
      <c r="B3" s="9" t="n">
        <v>0.02</v>
      </c>
      <c r="C3" s="9" t="n">
        <v>0.199</v>
      </c>
      <c r="D3" s="9" t="n">
        <v>0.109</v>
      </c>
      <c r="E3" s="9" t="n">
        <v>0.047</v>
      </c>
      <c r="F3" s="9" t="n">
        <v>0.06900000000000001</v>
      </c>
      <c r="G3" s="2" t="inlineStr">
        <is>
          <t>Limpens (2021), Table C.23</t>
        </is>
      </c>
      <c r="H3" s="2" t="inlineStr">
        <is>
          <t>Belgium freight also includes waterways (%Boat=15.6); %Rail here is share of total freight, not conditioned on road+rail.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What this workbook is for</t>
        </is>
      </c>
    </row>
    <row r="2">
      <c r="A2" s="6" t="inlineStr">
        <is>
          <t>This template collects country-specific calibration parameters for the EnergyScope end-use demand mapping (e.g., %Public, %Rail, %Dhn, and network losses). It also stores the raw modal split figures and computes the EnergyScope parameters with simple, transparent formulas.</t>
        </is>
      </c>
    </row>
    <row r="3">
      <c r="A3" s="6" t="inlineStr"/>
    </row>
    <row r="4">
      <c r="A4" s="11" t="inlineStr">
        <is>
          <t>Recommended next steps (Finland)</t>
        </is>
      </c>
    </row>
    <row r="5">
      <c r="A5" s="6" t="inlineStr">
        <is>
          <t>1) Decide a calibration year consistent with your EnergyScope base year (here: 2020), and consider using 2019 (pre-COVID) values for mobility shares.</t>
        </is>
      </c>
    </row>
    <row r="6">
      <c r="A6" s="6" t="inlineStr">
        <is>
          <t>2) Replace the raw modal split percentages with the chosen-year values (Eurostat/Traficom).</t>
        </is>
      </c>
    </row>
    <row r="7">
      <c r="A7" s="6" t="inlineStr">
        <is>
          <t>3) Confirm whether your passenger mobility layer excludes air and sea; if yes, keep the inland formulas as written.</t>
        </is>
      </c>
    </row>
    <row r="8">
      <c r="A8" s="6" t="inlineStr">
        <is>
          <t>4) Refine %Dhn from space-heating share to total low-temperature heat (space heating + hot water) if you have better data.</t>
        </is>
      </c>
    </row>
    <row r="9">
      <c r="A9" s="6" t="inlineStr">
        <is>
          <t>5) Add time profiles for space heating (%sh(t)) using heating degree-days or EnergyScope default profiles.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2025-12-27T12:54:52Z</dcterms:created>
  <dcterms:modified xmlns:dcterms="http://purl.org/dc/terms/" xmlns:xsi="http://www.w3.org/2001/XMLSchema-instance" xsi:type="dcterms:W3CDTF">2025-12-27T16:01:46Z</dcterms:modified>
</cp:coreProperties>
</file>